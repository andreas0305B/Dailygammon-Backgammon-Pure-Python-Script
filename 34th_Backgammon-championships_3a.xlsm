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157525F1-69AD-4349-BC34-126BC0B22969}"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<sst xmlns="http://schemas.openxmlformats.org/spreadsheetml/2006/main" count="1761" uniqueCount="260">
  <si>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</si>
  <si>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</si>
  <si>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</si>
  <si>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</si>
  <si>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</si>
  <si>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</si>
  <si>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</si>
  <si>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</si>
  <si>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</si>
  <si>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</si>
  <si>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</si>
  <si>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</si>
  <si>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</si>
  <si>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</si>
  <si>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</si>
  <si>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</si>
  <si>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</si>
  <si>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</si>
  <si>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</si>
  <si>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</si>
  <si>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</si>
  <si>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</si>
  <si>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</si>
  <si>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</si>
  <si>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</si>
  <si>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</si>
  <si>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</si>
  <si>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</si>
  <si>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</si>
  <si>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</si>
  <si>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</si>
  <si>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</si>
  <si>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</si>
  <si>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</si>
  <si>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</si>
  <si>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</si>
  <si>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</si>
  <si>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</si>
  <si>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</si>
  <si>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</si>
  <si>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</si>
  <si>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</si>
  <si>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</si>
  <si>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</si>
  <si>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</si>
  <si>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</si>
  <si>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</si>
  <si>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</si>
  <si>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</si>
  <si>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</si>
  <si>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</si>
  <si>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</si>
  <si>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</si>
  <si>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</si>
  <si>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</si>
  <si>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</si>
  <si>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</si>
  <si>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</si>
  <si>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</si>
  <si>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</si>
  <si>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</si>
  <si>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</si>
  <si>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</si>
  <si>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</si>
  <si>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</si>
  <si>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</si>
  <si>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</si>
  <si>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</si>
  <si>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</si>
  <si>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</si>
  <si>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</si>
  <si>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</si>
  <si>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</si>
  <si>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</si>
  <si>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</si>
  <si>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</si>
  <si>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</si>
  <si>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</si>
  <si>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</si>
  <si>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</si>
  <si>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</si>
  <si>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</si>
  <si>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</si>
  <si>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</si>
  <si>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</si>
  <si>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</si>
  <si>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</si>
  <si>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</si>
  <si>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</si>
  <si>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</si>
  <si>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</si>
  <si>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</si>
  <si>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</si>
  <si>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</si>
  <si>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</si>
  <si>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</si>
  <si>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</si>
  <si>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</si>
  <si>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</si>
  <si>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</si>
  <si>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</si>
  <si>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</si>
  <si>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</si>
  <si>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</si>
  <si>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</si>
  <si>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</si>
  <si>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</si>
  <si>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</si>
  <si>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</si>
  <si>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</si>
  <si>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</si>
  <si>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</si>
  <si>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</si>
  <si>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</si>
  <si>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</si>
  <si>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</si>
  <si>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</si>
  <si>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</si>
  <si>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</si>
  <si>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</si>
  <si>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</si>
  <si>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</si>
  <si>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</si>
  <si>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</si>
  <si>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</si>
  <si>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</si>
  <si>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</si>
  <si>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</si>
  <si>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</si>
  <si>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</si>
  <si>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</si>
  <si>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</si>
  <si>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</si>
  <si>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</si>
  <si>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</si>
  <si>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</si>
  <si>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</si>
  <si>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</si>
  <si>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</si>
  <si>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</si>
  <si>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</si>
  <si>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</si>
  <si>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</si>
  <si>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</si>
  <si>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</si>
  <si>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</si>
  <si>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</si>
  <si>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</si>
  <si>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</si>
  <si>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</si>
  <si>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</si>
  <si>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</si>
  <si>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</si>
  <si>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</si>
  <si>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</si>
  <si>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</si>
  <si>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</si>
  <si>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</si>
  <si>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</si>
  <si>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</si>
  <si>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</si>
  <si>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</si>
  <si>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</si>
  <si>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</si>
  <si>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</si>
  <si>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</si>
  <si>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</si>
  <si>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</si>
  <si>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</si>
  <si>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</si>
  <si>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</si>
  <si>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</si>
  <si>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</si>
  <si>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</si>
  <si>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</si>
  <si>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</si>
  <si>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</si>
  <si>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</si>
  <si>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</si>
  <si>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</si>
  <si>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</si>
  <si>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</si>
  <si>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</si>
  <si>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</si>
  <si>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</si>
  <si>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</si>
  <si>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</si>
  <si>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</si>
  <si>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</si>
  <si>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</si>
  <si>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</si>
  <si>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</si>
  <si>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</si>
  <si>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</si>
  <si>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</si>
  <si>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</si>
  <si>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</si>
  <si>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</si>
  <si>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</si>
  <si>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</si>
  <si>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</si>
  <si>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</si>
  <si>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</si>
  <si>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</si>
  <si>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</si>
  <si>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</si>
  <si>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</si>
  <si>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</si>
  <si>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</si>
  <si>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</si>
  <si>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</si>
  <si>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</si>
  <si>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</si>
  <si>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</si>
  <si>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</si>
  <si>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</si>
  <si>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</si>
  <si>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</si>
  <si>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</si>
  <si>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</si>
  <si>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</si>
  <si>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</si>
  <si>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</si>
  <si>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</si>
  <si>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</si>
  <si>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</si>
  <si>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</si>
  <si>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</si>
  <si>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</si>
  <si>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</si>
  <si>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</si>
  <si>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</si>
  <si>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</si>
  <si>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</si>
  <si>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</si>
  <si>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</si>
  <si>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</si>
  <si>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</si>
  <si>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</si>
  <si>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</si>
  <si>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</si>
  <si>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</si>
  <si>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</si>
  <si>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</si>
  <si>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</si>
  <si>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</si>
  <si>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</si>
  <si>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</si>
  <si>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</si>
  <si>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3a</t>
  </si>
  <si>
    <t>DichiBerlin</t>
  </si>
  <si>
    <t>FuturePrimitive</t>
  </si>
  <si>
    <t>hentea</t>
  </si>
  <si>
    <t>homputer</t>
  </si>
  <si>
    <t>justinlca</t>
  </si>
  <si>
    <t>mdsolutions</t>
  </si>
  <si>
    <t>Muenchi</t>
  </si>
  <si>
    <t>Nutsch</t>
  </si>
  <si>
    <t>paul11</t>
  </si>
  <si>
    <t>Ringbrett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</si>
</sst>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20617" TargetMode="External"/><Relationship Id="rId3" Type="http://schemas.openxmlformats.org/officeDocument/2006/relationships/hyperlink" Target="http://www.dailygammon.com/bg/user/22426" TargetMode="External"/><Relationship Id="rId7" Type="http://schemas.openxmlformats.org/officeDocument/2006/relationships/hyperlink" Target="http://www.dailygammon.com/bg/user/19182" TargetMode="External"/><Relationship Id="rId2" Type="http://schemas.openxmlformats.org/officeDocument/2006/relationships/hyperlink" Target="http://www.dailygammon.com/bg/user/22447" TargetMode="External"/><Relationship Id="rId1" Type="http://schemas.openxmlformats.org/officeDocument/2006/relationships/hyperlink" Target="http://www.dailygammon.com/bg/user/26839" TargetMode="External"/><Relationship Id="rId6" Type="http://schemas.openxmlformats.org/officeDocument/2006/relationships/hyperlink" Target="http://www.dailygammon.com/bg/user/19565"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27904" TargetMode="External"/><Relationship Id="rId10" Type="http://schemas.openxmlformats.org/officeDocument/2006/relationships/hyperlink" Target="http://www.dailygammon.com/bg/user/435" TargetMode="External"/><Relationship Id="rId4" Type="http://schemas.openxmlformats.org/officeDocument/2006/relationships/hyperlink" Target="http://www.dailygammon.com/bg/user/17909" TargetMode="External"/><Relationship Id="rId9" Type="http://schemas.openxmlformats.org/officeDocument/2006/relationships/hyperlink" Target="http://www.dailygammon.com/bg/user/2255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31" t="s">
        <v>253</v>
      </c>
      <c r="D5" s="21"/>
    </row>
    <row r="6" spans="1:4" x14ac:dyDescent="0.35">
      <c r="A6" s="31" t="s">
        <v>254</v>
      </c>
      <c r="D6" s="21"/>
    </row>
    <row r="7" spans="1:4" x14ac:dyDescent="0.35">
      <c r="A7" s="31" t="s">
        <v>255</v>
      </c>
      <c r="D7" s="21"/>
    </row>
    <row r="8" spans="1:4" x14ac:dyDescent="0.35">
      <c r="A8" s="59"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9" r:id="rId1" xr:uid="{054A2D44-C649-40A9-96DF-BDBF039E9A50}"/>
    <hyperlink ref="A5" r:id="rId2" xr:uid="{B87F3BF3-B4EC-4E84-A291-0D542CC72F82}"/>
    <hyperlink ref="A2" r:id="rId3" xr:uid="{899884BB-3F6A-4DAD-8409-153338C8EE30}"/>
    <hyperlink ref="A10" r:id="rId4" xr:uid="{5215C690-5937-49FA-87B6-792D5F8A887A}"/>
    <hyperlink ref="A4" r:id="rId5" xr:uid="{39CBCD2E-09A6-4978-93D0-4A2A09EFC9B1}"/>
    <hyperlink ref="A7" r:id="rId6" xr:uid="{96DB641B-D7F1-460E-995B-9A2F07E4A24B}"/>
    <hyperlink ref="A11" r:id="rId7" xr:uid="{7D38DB15-D9BB-442B-A724-210C764BCE0C}"/>
    <hyperlink ref="A3" r:id="rId8" xr:uid="{36936773-4403-4999-9B0A-3E2E5F0D2DD8}"/>
    <hyperlink ref="A6" r:id="rId9" xr:uid="{E589873A-83B7-46C2-8F0C-01B89EBFE2E2}"/>
    <hyperlink ref="A8" r:id="rId10" xr:uid="{06967D69-BFD7-4484-9D78-B95EAC23F1AF}"/>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3a</v>
      </c>
      <c r="B3" s="86" t="str">
        <f>$A4</f>
        <v>DichiBerlin</v>
      </c>
      <c r="C3" s="86"/>
      <c r="D3" s="86" t="str">
        <f>$A5</f>
        <v>FuturePrimitive</v>
      </c>
      <c r="E3" s="86"/>
      <c r="F3" s="86" t="str">
        <f>$A6</f>
        <v>hentea</v>
      </c>
      <c r="G3" s="86"/>
      <c r="H3" s="86" t="str">
        <f>$A7</f>
        <v>homputer</v>
      </c>
      <c r="I3" s="86"/>
      <c r="J3" s="86" t="str">
        <f>$A8</f>
        <v>justinlca</v>
      </c>
      <c r="K3" s="86"/>
      <c r="L3" s="86" t="str">
        <f>$A9</f>
        <v>mdsolutions</v>
      </c>
      <c r="M3" s="86"/>
      <c r="N3" s="86" t="str">
        <f>$A10</f>
        <v>Muenchi</v>
      </c>
      <c r="O3" s="86"/>
      <c r="P3" s="86" t="str">
        <f>$A11</f>
        <v>Nutsch</v>
      </c>
      <c r="Q3" s="86"/>
      <c r="R3" s="86" t="str">
        <f>$A12</f>
        <v>paul11</v>
      </c>
      <c r="S3" s="86"/>
      <c r="T3" s="86" t="str">
        <f>$A13</f>
        <v>Ringbrett</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DichiBerlin</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FuturePrimitive</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hentea</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homputer</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justinlca</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mdsolutions</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Muenchi</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Nutsch</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paul11</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Ringbrett</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Muenchi</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Nutsch</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DichiBerlin</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paul11</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mdsolutions</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Ringbrett</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FuturePrimitive</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homputer</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justinlca</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hentea</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3a</v>
      </c>
      <c r="B1" s="4" t="str">
        <f>$A2</f>
        <v>DichiBerlin</v>
      </c>
      <c r="C1" s="4" t="str">
        <f>$A3</f>
        <v>FuturePrimitive</v>
      </c>
      <c r="D1" s="4" t="str">
        <f>$A4</f>
        <v>hentea</v>
      </c>
      <c r="E1" s="4" t="str">
        <f>$A5</f>
        <v>homputer</v>
      </c>
      <c r="F1" s="4" t="str">
        <f>$A6</f>
        <v>justinlca</v>
      </c>
      <c r="G1" s="4" t="str">
        <f>$A7</f>
        <v>mdsolutions</v>
      </c>
      <c r="H1" s="4" t="str">
        <f>A8</f>
        <v>Muenchi</v>
      </c>
      <c r="I1" s="4" t="str">
        <f>$A9</f>
        <v>Nutsch</v>
      </c>
      <c r="J1" s="4" t="str">
        <f>$A10</f>
        <v>paul11</v>
      </c>
      <c r="K1" s="5" t="str">
        <f>$A11</f>
        <v>Ringbrett</v>
      </c>
      <c r="M1" s="24" t="s">
        <v>36</v>
      </c>
    </row>
    <row r="2" spans="1:13" x14ac:dyDescent="0.35">
      <c r="A2" s="1" t="str">
        <f>IF(Player1="","",Player1)</f>
        <v>DichiBerlin</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"http://dailygammon.com/bg/user/22426?active=1&amp;finished=0&amp;sort_win_loss=0&amp;days_to_view=150" &gt;"3a\3a_DichiBerlin_22426.html"</v>
      </c>
    </row>
    <row r="3" spans="1:13" x14ac:dyDescent="0.35">
      <c r="A3" s="1" t="str">
        <f>IF(Player2="","",Player2)</f>
        <v>FuturePrimitive</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"http://dailygammon.com/bg/user/20617?active=1&amp;finished=0&amp;sort_win_loss=0&amp;days_to_view=150" &gt;"3a\3a_FuturePrimitive_20617.html"</v>
      </c>
    </row>
    <row r="4" spans="1:13" x14ac:dyDescent="0.35">
      <c r="A4" s="1" t="str">
        <f>IF(Player3="","",Player3)</f>
        <v>hentea</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"http://dailygammon.com/bg/user/27904?active=1&amp;finished=0&amp;sort_win_loss=0&amp;days_to_view=150" &gt;"3a\3a_hentea_27904.html"</v>
      </c>
    </row>
    <row r="5" spans="1:13" x14ac:dyDescent="0.35">
      <c r="A5" s="1" t="str">
        <f>IF(Player4="","",Player4)</f>
        <v>homputer</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"http://dailygammon.com/bg/user/22447?active=1&amp;finished=0&amp;sort_win_loss=0&amp;days_to_view=150" &gt;"3a\3a_homputer_22447.html"</v>
      </c>
    </row>
    <row r="6" spans="1:13" x14ac:dyDescent="0.35">
      <c r="A6" s="1" t="str">
        <f>IF(Player5="","",Player5)</f>
        <v>justinlca</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"http://dailygammon.com/bg/user/22550?active=1&amp;finished=0&amp;sort_win_loss=0&amp;days_to_view=150" &gt;"3a\3a_justinlca_22550.html"</v>
      </c>
    </row>
    <row r="7" spans="1:13" x14ac:dyDescent="0.35">
      <c r="A7" s="1" t="str">
        <f>IF(Player6="","",Player6)</f>
        <v>mdsolutions</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"http://dailygammon.com/bg/user/19565?active=1&amp;finished=0&amp;sort_win_loss=0&amp;days_to_view=150" &gt;"3a\3a_mdsolutions_19565.html"</v>
      </c>
    </row>
    <row r="8" spans="1:13" x14ac:dyDescent="0.35">
      <c r="A8" s="1" t="str">
        <f>IF(Player7="","",Player7)</f>
        <v>Muenchi</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"http://dailygammon.com/bg/user/435?active=1&amp;finished=0&amp;sort_win_loss=0&amp;days_to_view=150" &gt;"3a\3a_Muenchi_435.html"</v>
      </c>
    </row>
    <row r="9" spans="1:13" x14ac:dyDescent="0.35">
      <c r="A9" s="1" t="str">
        <f>IF(Player8="","",Player8)</f>
        <v>Nutsch</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"http://dailygammon.com/bg/user/26839?active=1&amp;finished=0&amp;sort_win_loss=0&amp;days_to_view=150" &gt;"3a\3a_Nutsch_26839.html"</v>
      </c>
    </row>
    <row r="10" spans="1:13" x14ac:dyDescent="0.35">
      <c r="A10" s="1" t="str">
        <f>IF(Player9="","",Player9)</f>
        <v>paul11</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"http://dailygammon.com/bg/user/17909?active=1&amp;finished=0&amp;sort_win_loss=0&amp;days_to_view=150" &gt;"3a\3a_paul11_17909.html"</v>
      </c>
    </row>
    <row r="11" spans="1:13" x14ac:dyDescent="0.35">
      <c r="A11" s="2" t="str">
        <f>IF(Player10="","",Player10)</f>
        <v>Ringbrett</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"http://dailygammon.com/bg/user/19182?active=1&amp;finished=0&amp;sort_win_loss=0&amp;days_to_view=150" &gt;"3a\3a_Ringbrett_19182.html"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DichiBerlin</v>
      </c>
      <c r="B2" s="6">
        <v>0.45</v>
      </c>
      <c r="C2">
        <v>0</v>
      </c>
      <c r="D2">
        <v>0</v>
      </c>
      <c r="E2">
        <v>18</v>
      </c>
      <c r="F2">
        <v>9</v>
      </c>
      <c r="G2">
        <f>F2/E2</f>
        <v>0.5</v>
      </c>
      <c r="H2">
        <f>ROUND(F2,0)</f>
        <v>9</v>
      </c>
      <c r="I2">
        <f>E2-H2</f>
        <v>9</v>
      </c>
      <c r="J2">
        <f>C2+H2</f>
        <v>9</v>
      </c>
      <c r="K2">
        <f>D2+I2</f>
        <v>9</v>
      </c>
      <c r="L2">
        <f>C2+D2+H2+I2</f>
        <v>18</v>
      </c>
    </row>
    <row r="3" spans="1:12" x14ac:dyDescent="0.35">
      <c r="A3" t="str">
        <f>Player2</f>
        <v>FuturePrimitive</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hentea</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homputer</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justinlca</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mdsolutions</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Muenchi</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Nutsch</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paul11</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Ringbrett</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3a</v>
      </c>
      <c r="B3" s="36" t="str">
        <f>$A4</f>
        <v>DichiBerlin</v>
      </c>
      <c r="C3" s="36" t="str">
        <f>$A5</f>
        <v>FuturePrimitive</v>
      </c>
      <c r="D3" s="36" t="str">
        <f>$A6</f>
        <v>hentea</v>
      </c>
      <c r="E3" s="36" t="str">
        <f>$A7</f>
        <v>homputer</v>
      </c>
      <c r="F3" s="36" t="str">
        <f>$A8</f>
        <v>justinlca</v>
      </c>
      <c r="G3" s="36" t="str">
        <f>$A9</f>
        <v>mdsolutions</v>
      </c>
      <c r="H3" s="36" t="str">
        <f>$A10</f>
        <v>Muenchi</v>
      </c>
      <c r="I3" s="36" t="str">
        <f>$A11</f>
        <v>Nutsch</v>
      </c>
      <c r="J3" s="36" t="str">
        <f>$A12</f>
        <v>paul11</v>
      </c>
      <c r="K3" s="37" t="str">
        <f>$A13</f>
        <v>Ringbrett</v>
      </c>
      <c r="L3" s="1"/>
    </row>
    <row r="4" spans="1:12" x14ac:dyDescent="0.35">
      <c r="A4" s="33" t="str">
        <f>IF(Player1="","",Player1)</f>
        <v>DichiBerlin</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FuturePrimitive</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hentea</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homputer</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justinlca</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mdsolutions</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Muenchi</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Nutsch</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paul11</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Ringbrett</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2025-08-06T09:37:13Z</dcterms:modified>
</cp:coreProperties>
</file>